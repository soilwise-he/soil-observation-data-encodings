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thi\Dropbox\cove\SoilWise\WP2\CSV_Simple\"/>
    </mc:Choice>
  </mc:AlternateContent>
  <xr:revisionPtr revIDLastSave="0" documentId="13_ncr:1_{EB8C4891-BDD7-4D26-88FA-FD6B9FC3236B}" xr6:coauthVersionLast="47" xr6:coauthVersionMax="47" xr10:uidLastSave="{00000000-0000-0000-0000-000000000000}"/>
  <bookViews>
    <workbookView xWindow="-120" yWindow="-120" windowWidth="29040" windowHeight="15840" activeTab="3" xr2:uid="{9DCE1E4B-6CD1-46B5-8D2E-1D2FE5DA7756}"/>
  </bookViews>
  <sheets>
    <sheet name="ReadMe" sheetId="4" r:id="rId1"/>
    <sheet name="Properties" sheetId="8" r:id="rId2"/>
    <sheet name="Data" sheetId="7" r:id="rId3"/>
    <sheet name="LandUseCodelist" sheetId="5" r:id="rId4"/>
    <sheet name="Admin Codes" sheetId="6" r:id="rId5"/>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<sst xmlns="http://schemas.openxmlformats.org/spreadsheetml/2006/main" count="350" uniqueCount="215">
  <si>
    <t>Funding</t>
  </si>
  <si>
    <t>Date</t>
  </si>
  <si>
    <t>EPSG:4326</t>
  </si>
  <si>
    <t>Mandatory</t>
  </si>
  <si>
    <t>Description</t>
  </si>
  <si>
    <t>Object Type</t>
  </si>
  <si>
    <t>Paddy rice fields cultivated in lowland plains and flooded by rainfall during the rainy season. This represents the traditional lowland rice cultivation system in Lao PDR.</t>
  </si>
  <si>
    <t>Cassava fields managed under conventional agricultural practices commonly used in Lao PDR.</t>
  </si>
  <si>
    <t>Household vegetable gardens located around houses. Soil samples were collected under various vegetable crops within each garden. Crop types were not systematically recorded.</t>
  </si>
  <si>
    <t>Areas adjacent to agricultural fields with no active cultivation, used as reference or control sites.</t>
  </si>
  <si>
    <t>Name</t>
  </si>
  <si>
    <t>Definition</t>
  </si>
  <si>
    <t>Attribute</t>
  </si>
  <si>
    <t>ID</t>
  </si>
  <si>
    <t>Site</t>
  </si>
  <si>
    <t>name</t>
  </si>
  <si>
    <t>column_type</t>
  </si>
  <si>
    <t>column_format</t>
  </si>
  <si>
    <t>concept_type</t>
  </si>
  <si>
    <t>concept</t>
  </si>
  <si>
    <t>unit_symbol</t>
  </si>
  <si>
    <t>unit_uri</t>
  </si>
  <si>
    <t>quantity_kind_uri</t>
  </si>
  <si>
    <t>method</t>
  </si>
  <si>
    <t>description</t>
  </si>
  <si>
    <t>decimal</t>
  </si>
  <si>
    <t>anyURI</t>
  </si>
  <si>
    <t>base64Binary</t>
  </si>
  <si>
    <t>boolean</t>
  </si>
  <si>
    <t>codelist</t>
  </si>
  <si>
    <t>date</t>
  </si>
  <si>
    <t>dateTime</t>
  </si>
  <si>
    <t>dateTimeStamp</t>
  </si>
  <si>
    <t>integer</t>
  </si>
  <si>
    <t>long</t>
  </si>
  <si>
    <t>int</t>
  </si>
  <si>
    <t>short</t>
  </si>
  <si>
    <t>byte</t>
  </si>
  <si>
    <t>nonNegativeInteger</t>
  </si>
  <si>
    <t>positiveInteger</t>
  </si>
  <si>
    <t>unsignedLong</t>
  </si>
  <si>
    <t>unsignedInt</t>
  </si>
  <si>
    <t>unsignedShort</t>
  </si>
  <si>
    <t>unsignedByte</t>
  </si>
  <si>
    <t>nonPositiveInteger</t>
  </si>
  <si>
    <t>negativeInteger</t>
  </si>
  <si>
    <t>double</t>
  </si>
  <si>
    <t>number</t>
  </si>
  <si>
    <t>duration</t>
  </si>
  <si>
    <t>dayTimeDuration</t>
  </si>
  <si>
    <t>yearMonthDuration</t>
  </si>
  <si>
    <t>float</t>
  </si>
  <si>
    <t>gDay</t>
  </si>
  <si>
    <t>gMonth</t>
  </si>
  <si>
    <t>gMonthDay</t>
  </si>
  <si>
    <t>gYear</t>
  </si>
  <si>
    <t>gYearMonth</t>
  </si>
  <si>
    <t>hexBinary</t>
  </si>
  <si>
    <t>QName</t>
  </si>
  <si>
    <t>string</t>
  </si>
  <si>
    <t>normalizedString</t>
  </si>
  <si>
    <t>token</t>
  </si>
  <si>
    <t>language</t>
  </si>
  <si>
    <t>NMTOKEN</t>
  </si>
  <si>
    <t>time</t>
  </si>
  <si>
    <t>xml</t>
  </si>
  <si>
    <t>html</t>
  </si>
  <si>
    <t>json</t>
  </si>
  <si>
    <t>sosa:FeatureOfInterest</t>
  </si>
  <si>
    <t>schema:Property</t>
  </si>
  <si>
    <t>sosa:Property</t>
  </si>
  <si>
    <t>geo:Feature</t>
  </si>
  <si>
    <t>sosa:phenomenonTime</t>
  </si>
  <si>
    <t>Foreign Key</t>
  </si>
  <si>
    <t>geo:Feature:Lat</t>
  </si>
  <si>
    <t>geo:Feature:Long</t>
  </si>
  <si>
    <t>https://glosis-ld.github.io/glosis/iso28258/index-en.html#/ProfileElement.upperDepth</t>
  </si>
  <si>
    <t>https://glosis-ld.github.io/glosis/iso28258/index-en.html#/ProfileElement.lowerDepth</t>
  </si>
  <si>
    <t>Observed Property</t>
  </si>
  <si>
    <t>Latitude (Y)</t>
  </si>
  <si>
    <t>Longitude (X)</t>
  </si>
  <si>
    <t>Phenomenon Time</t>
  </si>
  <si>
    <t>Feature of Interest</t>
  </si>
  <si>
    <t>Depth Upper</t>
  </si>
  <si>
    <t>Depth Lower</t>
  </si>
  <si>
    <t>concept_type_URI</t>
  </si>
  <si>
    <t>sample_ID</t>
  </si>
  <si>
    <t>sample_name</t>
  </si>
  <si>
    <t>ID_field</t>
  </si>
  <si>
    <t>ID_profile</t>
  </si>
  <si>
    <t>ID_depth</t>
  </si>
  <si>
    <t>ID_location</t>
  </si>
  <si>
    <t>depth</t>
  </si>
  <si>
    <t>landuse</t>
  </si>
  <si>
    <t>volum_cylinder_cm3</t>
  </si>
  <si>
    <t>wet_mass_soil_g</t>
  </si>
  <si>
    <t>dry_mass_soil_g</t>
  </si>
  <si>
    <t>bulk_density</t>
  </si>
  <si>
    <t>water_content</t>
  </si>
  <si>
    <t>collection_date</t>
  </si>
  <si>
    <t>latitude</t>
  </si>
  <si>
    <t>longitude</t>
  </si>
  <si>
    <t>elevation</t>
  </si>
  <si>
    <t>location</t>
  </si>
  <si>
    <t>country</t>
  </si>
  <si>
    <t>s001</t>
  </si>
  <si>
    <t>F1-P1-A-ATP</t>
  </si>
  <si>
    <t>F1</t>
  </si>
  <si>
    <t>P1</t>
  </si>
  <si>
    <t>A</t>
  </si>
  <si>
    <t>ATP</t>
  </si>
  <si>
    <t>0-5</t>
  </si>
  <si>
    <t>cassava</t>
  </si>
  <si>
    <t>2024-01</t>
  </si>
  <si>
    <t>Attapeu</t>
  </si>
  <si>
    <t>LA</t>
  </si>
  <si>
    <t>s002</t>
  </si>
  <si>
    <t>F5-P3-A-ATP</t>
  </si>
  <si>
    <t>F5</t>
  </si>
  <si>
    <t>P3</t>
  </si>
  <si>
    <t>paddy_rice</t>
  </si>
  <si>
    <t>s003</t>
  </si>
  <si>
    <t>F1-P2-A-ATP</t>
  </si>
  <si>
    <t>P2</t>
  </si>
  <si>
    <t>s004</t>
  </si>
  <si>
    <t>F5-P3-B-ATP</t>
  </si>
  <si>
    <t>B</t>
  </si>
  <si>
    <t>15-20</t>
  </si>
  <si>
    <t>s005</t>
  </si>
  <si>
    <t>F1-P3-A-ATP</t>
  </si>
  <si>
    <t>s006</t>
  </si>
  <si>
    <t>F6-P1-A-ATP</t>
  </si>
  <si>
    <t>F6</t>
  </si>
  <si>
    <t>non_cultivated</t>
  </si>
  <si>
    <t>s007</t>
  </si>
  <si>
    <t>F2-P1-A-ATP</t>
  </si>
  <si>
    <t>F2</t>
  </si>
  <si>
    <t>s008</t>
  </si>
  <si>
    <t>F6-P1-B-ATP</t>
  </si>
  <si>
    <t>s009</t>
  </si>
  <si>
    <t>F6-P2-A-ATP</t>
  </si>
  <si>
    <t>element</t>
  </si>
  <si>
    <t>element_uri</t>
  </si>
  <si>
    <t>primary_key</t>
  </si>
  <si>
    <t>A unique identifier assigned to each soil sample, constructed to ensure traceability.</t>
  </si>
  <si>
    <t>A unique identifier for each soil sample, combining field number, replicate number, depth interval, and location.</t>
  </si>
  <si>
    <t>Identifier representing the specific field from which the soil sample was collected.</t>
  </si>
  <si>
    <t>Identifier indicating the within-field replicate number for the soil sample.</t>
  </si>
  <si>
    <t>Identifier denoting the depth interval from which the soil sample was taken, with A for 0–5 cm and B for 15–20 cm.</t>
  </si>
  <si>
    <t>Identifier representing the administrative location where the soil sample was collected, with ATP for Attapeu and KHA for Khammouane.</t>
  </si>
  <si>
    <t>soil depth</t>
  </si>
  <si>
    <t>http://w3id.org/glosis/model/common/soilDepthProperty</t>
  </si>
  <si>
    <t>The soil depth interval from the surface over which the soil sample was collected, measured in centimeters.</t>
  </si>
  <si>
    <t>The category of land use under which the soil sample was collected, such as rice, cassava, gardens, or non-cultivated.</t>
  </si>
  <si>
    <t>sample volume</t>
  </si>
  <si>
    <t>https://data.geoscience.earth/ncl/ISO11074v2025/3.409</t>
  </si>
  <si>
    <t>cm³</t>
  </si>
  <si>
    <t>http://qudt.org/vocab/unit/CentiM3</t>
  </si>
  <si>
    <t>http://qudt.org/vocab/quantitykind/Volume</t>
  </si>
  <si>
    <t>ENVO – soil sampling device (ENVO:00002792)</t>
  </si>
  <si>
    <t>The volume of the soil sampling cylinder used to collect an undisturbed soil sample, measured in cubic centimeters.</t>
  </si>
  <si>
    <t>soil water content</t>
  </si>
  <si>
    <t>http://aims.fao.org/aos/agrovoc/c_7208</t>
  </si>
  <si>
    <t>g</t>
  </si>
  <si>
    <t>http://qudt.org/vocab/unit/GM</t>
  </si>
  <si>
    <t>http://qudt.org/vocab/quantitykind/Mass</t>
  </si>
  <si>
    <t>The mass of the soil sample immediately after collection, including water content, measured in grams.</t>
  </si>
  <si>
    <t>soil sample</t>
  </si>
  <si>
    <t>http://opendata.inrae.fr/thesaurusINRAE/c_17874</t>
  </si>
  <si>
    <t>The mass of the soil sample after oven-drying at 105 °C until constant weight, representing the dry mass of soil, measured in grams.</t>
  </si>
  <si>
    <t>bulk density</t>
  </si>
  <si>
    <t>https://data.geoscience.earth/ncl/ISO11074v2025/3.62</t>
  </si>
  <si>
    <t>g/cm³</t>
  </si>
  <si>
    <t>http://qudt.org/vocab/unit/GM-PER-CentiM3</t>
  </si>
  <si>
    <t>http://qudt.org/vocab/quantitykind/MassDensity</t>
  </si>
  <si>
    <t>ENVO – soil bulk density (ENVO:09200004)</t>
  </si>
  <si>
    <t>The dry mass of soil per unit volume, including pore space, measured using a soil sampling cylinder and expressed in grams per cubic centimeter.</t>
  </si>
  <si>
    <t>g/g</t>
  </si>
  <si>
    <t>http://qudt.org/vocab/unit/GM-PER-GM</t>
  </si>
  <si>
    <t>http://qudt.org/vocab/quantitykind/MassRatio</t>
  </si>
  <si>
    <t>ENVO – soil gravimetric water content</t>
  </si>
  <si>
    <t>The mass of water in the soil per unit dry mass of soil, expressed as a percentage by weight.</t>
  </si>
  <si>
    <t>%Y-%m</t>
  </si>
  <si>
    <t>The date on which the soil sampling occurred, formatted as YYYY-MM.</t>
  </si>
  <si>
    <t>The latitude of the geographic location where the soil sample was collected, expressed in decimal degrees (WGS84).</t>
  </si>
  <si>
    <t>The longitude of the geographic location where the soil sample was collected, expressed in decimal degrees (WGS84).</t>
  </si>
  <si>
    <t>The elevation of the location where the soil sample was collected, measured relative to sea level in meters.</t>
  </si>
  <si>
    <t>schema:location</t>
  </si>
  <si>
    <t>The administrative province where the soil sample was collected.</t>
  </si>
  <si>
    <t>Country</t>
  </si>
  <si>
    <t>schema:Country</t>
  </si>
  <si>
    <t>The country in which the soil sample was collected, represented by the ISO country code LA for Laos.</t>
  </si>
  <si>
    <t>Elevation (Z)</t>
  </si>
  <si>
    <t>land use type</t>
  </si>
  <si>
    <t>Tab-LandCoverTypes</t>
  </si>
  <si>
    <t>gardens</t>
  </si>
  <si>
    <t>LAO PDR</t>
  </si>
  <si>
    <t>Attapeu and Khammouane</t>
  </si>
  <si>
    <t>Attapeu Province: January–February 2024 (dry season)
Khammouane Province: November 2025 (end of the rainy season)</t>
  </si>
  <si>
    <t>Attapeu data: Agroecology Initiative (CIAT, IWMI)
Khammouane data: SOLAO Project (French Embassy in Laos)</t>
  </si>
  <si>
    <t>Soil bulk density dataset across land uses in Lao PDR.</t>
  </si>
  <si>
    <t>---</t>
  </si>
  <si>
    <t>Sampling was conducted during different seasons across provinces, which may influence bulk density values.
Crop types in garden plots were not recorded.
Non-cultivated sites represent nearby uncultivated areas and should not be interpreted as undisturbed natural soils.
Bulk density values reflect conditions at the time of sampling only.
Measurements represent point samples within each field and depth interval; spatial variability within fields may not be fully captured despite replication.</t>
  </si>
  <si>
    <t>http://purl.obolibrary.org/obo/ENVO_00000296</t>
  </si>
  <si>
    <t>http://purl.obolibrary.org/obo/ENVO_00002263</t>
  </si>
  <si>
    <t>http://aims.fao.org/aos/agrovoc/c_9649</t>
  </si>
  <si>
    <t>Citation</t>
  </si>
  <si>
    <t>Ms Sunee Peecha, Ms Nampheung Sayalath, Ms Florine Degrune: Soil bulk density dataset across land uses in Lao PDR. CIRAD, UMR Eco&amp;Sols, France / IRD, UMR XX, France</t>
  </si>
  <si>
    <t>Contact</t>
  </si>
  <si>
    <t xml:space="preserve">Project </t>
  </si>
  <si>
    <t>Publication</t>
  </si>
  <si>
    <t>Experiment</t>
  </si>
  <si>
    <t xml:space="preserve">Sampling </t>
  </si>
  <si>
    <t>CRS</t>
  </si>
  <si>
    <t>florine.degrune@cirad.fr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</si>
</sst>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2" fillId="2" borderId="1" xfId="0" applyFont="1" applyFill="1" applyBorder="1"/>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xf numFmtId="0" fontId="0" fillId="0" borderId="0" xfId="0" applyBorder="1"/>
    <xf numFmtId="0" fontId="0" fillId="3" borderId="2" xfId="0" applyFont="1" applyFill="1" applyBorder="1"/>
    <xf numFmtId="0" fontId="0" fillId="0" borderId="2" xfId="0" applyFont="1" applyBorder="1"/>
    <xf numFmtId="0" fontId="0" fillId="0" borderId="0" xfId="0" applyAlignment="1">
      <alignment vertical="center" wrapText="1"/>
    </xf>
    <xf numFmtId="0" fontId="0" fillId="3" borderId="2" xfId="0" applyFont="1" applyFill="1" applyBorder="1" applyAlignment="1">
      <alignment vertical="center" wrapText="1"/>
    </xf>
    <xf numFmtId="0" fontId="0" fillId="0" borderId="0" xfId="0" applyFill="1"/>
    <xf numFmtId="0" fontId="1" fillId="0" borderId="0" xfId="0" applyFont="1" applyAlignment="1">
      <alignment horizontal="center" vertical="center"/>
    </xf>
    <xf numFmtId="0" fontId="0" fillId="0" borderId="0" xfId="0" applyAlignment="1"/>
    <xf numFmtId="0" fontId="0" fillId="0" borderId="0" xfId="0" applyAlignment="1">
      <alignment vertical="center"/>
    </xf>
    <xf numFmtId="0" fontId="0" fillId="0" borderId="0" xfId="0" quotePrefix="1" applyAlignment="1">
      <alignment horizontal="left" vertical="top" wrapText="1"/>
    </xf>
    <xf numFmtId="0" fontId="2" fillId="2" borderId="1" xfId="0" applyFont="1" applyFill="1" applyBorder="1" applyAlignment="1">
      <alignment vertical="top"/>
    </xf>
    <xf numFmtId="0" fontId="0" fillId="0" borderId="0" xfId="0" applyAlignment="1">
      <alignment vertical="top"/>
    </xf>
    <xf numFmtId="0" fontId="1" fillId="0" borderId="0" xfId="0" applyFont="1" applyAlignment="1">
      <alignment vertical="top"/>
    </xf>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EDE5D-31E8-47B0-ADCD-B8A3B9938FCB}" name="LandCoverTypes" displayName="LandCoverTypes" ref="A1:C5" totalsRowShown="0">
  <autoFilter ref="A1:C5" xr:uid="{A3CEDE5D-31E8-47B0-ADCD-B8A3B9938FCB}"/>
  <tableColumns count="3">
    <tableColumn id="1" xr3:uid="{1B91803B-C138-4335-8678-B24636277F1B}" name="Name"/>
    <tableColumn id="2" xr3:uid="{3AA8ACA2-00CE-442C-B4DB-7ECB931A0A14}" name="Definition"/>
    <tableColumn id="3" xr3:uid="{72A1B3D3-D8C9-418F-BA5E-99CE3D11D771}"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A3F97-235B-43DE-BF92-829B8118E6D9}" name="column_type" displayName="column_type" ref="A1:A45" totalsRowShown="0" headerRowDxfId="0">
  <autoFilter ref="A1:A45" xr:uid="{562A3F97-235B-43DE-BF92-829B8118E6D9}"/>
  <tableColumns count="1">
    <tableColumn id="1" xr3:uid="{009F965C-20B5-4BEB-A82F-86D561FEB082}" name="column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E095B6-1D1B-40B6-A477-397475B02CB9}" name="concept_type" displayName="concept_type" ref="C1:D13" totalsRowShown="0">
  <autoFilter ref="C1:D13" xr:uid="{55E095B6-1D1B-40B6-A477-397475B02CB9}"/>
  <tableColumns count="2">
    <tableColumn id="1" xr3:uid="{5F95F37F-F168-46C3-868F-D078709CDC40}" name="concept_type"/>
    <tableColumn id="2" xr3:uid="{BD075243-BB64-4664-98CB-66E18F974CDD}" name="concept_type_UR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8423-BA79-402A-98D3-266C23F871FF}">
  <dimension ref="A1:C12"/>
  <sheetViews>
    <sheetView workbookViewId="0">
      <selection sqref="A1:B11"/>
    </sheetView>
  </sheetViews>
  <sheetFormatPr defaultRowHeight="15" x14ac:dyDescent="0.25"/>
  <cols>
    <col min="1" max="1" width="14.28515625" style="17" bestFit="1" customWidth="1"/>
    <col min="2" max="2" width="97.7109375" style="17" customWidth="1"/>
    <col min="3" max="16384" width="9.140625" style="17"/>
  </cols>
  <sheetData>
    <row r="1" spans="1:3" ht="15.75" x14ac:dyDescent="0.25">
      <c r="A1" s="16" t="s">
        <v>209</v>
      </c>
      <c r="B1" s="2" t="s">
        <v>200</v>
      </c>
    </row>
    <row r="2" spans="1:3" ht="15.75" x14ac:dyDescent="0.25">
      <c r="A2" s="16" t="s">
        <v>210</v>
      </c>
      <c r="B2" s="15" t="s">
        <v>201</v>
      </c>
    </row>
    <row r="3" spans="1:3" ht="30" x14ac:dyDescent="0.25">
      <c r="A3" s="16" t="s">
        <v>0</v>
      </c>
      <c r="B3" s="3" t="s">
        <v>199</v>
      </c>
    </row>
    <row r="4" spans="1:3" ht="15.75" x14ac:dyDescent="0.25">
      <c r="A4" s="16" t="s">
        <v>206</v>
      </c>
      <c r="B4" s="3" t="s">
        <v>207</v>
      </c>
    </row>
    <row r="5" spans="1:3" ht="15.75" x14ac:dyDescent="0.25">
      <c r="A5" s="16" t="s">
        <v>208</v>
      </c>
      <c r="B5" s="3" t="s">
        <v>214</v>
      </c>
    </row>
    <row r="6" spans="1:3" ht="15.75" x14ac:dyDescent="0.25">
      <c r="A6" s="16" t="s">
        <v>211</v>
      </c>
      <c r="B6" s="15" t="s">
        <v>201</v>
      </c>
    </row>
    <row r="7" spans="1:3" ht="15.75" x14ac:dyDescent="0.25">
      <c r="A7" s="16" t="s">
        <v>14</v>
      </c>
      <c r="B7" s="2" t="s">
        <v>197</v>
      </c>
    </row>
    <row r="8" spans="1:3" ht="15.75" x14ac:dyDescent="0.25">
      <c r="A8" s="16" t="s">
        <v>189</v>
      </c>
      <c r="B8" s="2" t="s">
        <v>196</v>
      </c>
    </row>
    <row r="9" spans="1:3" ht="107.25" customHeight="1" x14ac:dyDescent="0.25">
      <c r="A9" s="16" t="s">
        <v>212</v>
      </c>
      <c r="B9" s="15" t="s">
        <v>202</v>
      </c>
    </row>
    <row r="10" spans="1:3" ht="30" x14ac:dyDescent="0.25">
      <c r="A10" s="16" t="s">
        <v>1</v>
      </c>
      <c r="B10" s="3" t="s">
        <v>198</v>
      </c>
    </row>
    <row r="11" spans="1:3" ht="15.75" x14ac:dyDescent="0.25">
      <c r="A11" s="16" t="s">
        <v>213</v>
      </c>
      <c r="B11" s="4" t="s">
        <v>2</v>
      </c>
      <c r="C11" s="18" t="s">
        <v>3</v>
      </c>
    </row>
    <row r="12" spans="1:3" x14ac:dyDescent="0.25">
      <c r="A12" s="2"/>
      <c r="B1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4C5C-B402-43CC-8B99-ADBACDE93CE2}">
  <dimension ref="A1:L20"/>
  <sheetViews>
    <sheetView workbookViewId="0">
      <selection activeCell="K20" sqref="A1:K20"/>
    </sheetView>
  </sheetViews>
  <sheetFormatPr defaultRowHeight="15" x14ac:dyDescent="0.25"/>
  <cols>
    <col min="1" max="1" width="19.5703125" bestFit="1" customWidth="1"/>
    <col min="2" max="2" width="14.7109375" bestFit="1" customWidth="1"/>
    <col min="3" max="3" width="16.28515625" bestFit="1" customWidth="1"/>
    <col min="4" max="4" width="22.28515625" bestFit="1" customWidth="1"/>
    <col min="5" max="5" width="17.28515625" bestFit="1" customWidth="1"/>
    <col min="6" max="6" width="54.28515625" bestFit="1" customWidth="1"/>
    <col min="7" max="7" width="13.28515625" bestFit="1" customWidth="1"/>
    <col min="8" max="8" width="42.140625" bestFit="1" customWidth="1"/>
    <col min="9" max="9" width="45.85546875" bestFit="1" customWidth="1"/>
    <col min="10" max="10" width="42.5703125" bestFit="1" customWidth="1"/>
    <col min="11" max="11" width="132.5703125" bestFit="1" customWidth="1"/>
    <col min="12" max="12" width="13.42578125" bestFit="1" customWidth="1"/>
  </cols>
  <sheetData>
    <row r="1" spans="1:12" ht="15.75" x14ac:dyDescent="0.25">
      <c r="A1" s="1" t="s">
        <v>15</v>
      </c>
      <c r="B1" s="1" t="s">
        <v>16</v>
      </c>
      <c r="C1" s="1" t="s">
        <v>17</v>
      </c>
      <c r="D1" s="1" t="s">
        <v>19</v>
      </c>
      <c r="E1" s="1" t="s">
        <v>141</v>
      </c>
      <c r="F1" s="1" t="s">
        <v>142</v>
      </c>
      <c r="G1" s="1" t="s">
        <v>20</v>
      </c>
      <c r="H1" s="1" t="s">
        <v>21</v>
      </c>
      <c r="I1" s="1" t="s">
        <v>22</v>
      </c>
      <c r="J1" s="1" t="s">
        <v>23</v>
      </c>
      <c r="K1" s="1" t="s">
        <v>24</v>
      </c>
      <c r="L1" s="1" t="s">
        <v>143</v>
      </c>
    </row>
    <row r="2" spans="1:12" x14ac:dyDescent="0.25">
      <c r="A2" s="14" t="s">
        <v>86</v>
      </c>
      <c r="B2" s="14" t="s">
        <v>59</v>
      </c>
      <c r="C2" s="14"/>
      <c r="D2" t="s">
        <v>82</v>
      </c>
      <c r="E2" s="14"/>
      <c r="F2" s="14"/>
      <c r="G2" s="14"/>
      <c r="H2" s="14"/>
      <c r="I2" s="14"/>
      <c r="J2" s="14"/>
      <c r="K2" s="14" t="s">
        <v>144</v>
      </c>
      <c r="L2" s="14" t="b">
        <v>1</v>
      </c>
    </row>
    <row r="3" spans="1:12" x14ac:dyDescent="0.25">
      <c r="A3" s="14" t="s">
        <v>87</v>
      </c>
      <c r="B3" s="14" t="s">
        <v>59</v>
      </c>
      <c r="C3" s="14"/>
      <c r="D3" t="s">
        <v>82</v>
      </c>
      <c r="E3" s="14"/>
      <c r="F3" s="14"/>
      <c r="G3" s="14"/>
      <c r="H3" s="14"/>
      <c r="I3" s="14"/>
      <c r="J3" s="14"/>
      <c r="K3" s="14" t="s">
        <v>145</v>
      </c>
      <c r="L3" s="14" t="b">
        <v>0</v>
      </c>
    </row>
    <row r="4" spans="1:12" x14ac:dyDescent="0.25">
      <c r="A4" s="14" t="s">
        <v>88</v>
      </c>
      <c r="B4" s="14" t="s">
        <v>59</v>
      </c>
      <c r="C4" s="14"/>
      <c r="D4" t="s">
        <v>12</v>
      </c>
      <c r="E4" s="14"/>
      <c r="F4" s="14"/>
      <c r="G4" s="14"/>
      <c r="H4" s="14"/>
      <c r="I4" s="14"/>
      <c r="J4" s="14"/>
      <c r="K4" s="14" t="s">
        <v>146</v>
      </c>
      <c r="L4" s="14" t="b">
        <v>0</v>
      </c>
    </row>
    <row r="5" spans="1:12" x14ac:dyDescent="0.25">
      <c r="A5" s="14" t="s">
        <v>89</v>
      </c>
      <c r="B5" s="14" t="s">
        <v>59</v>
      </c>
      <c r="C5" s="14"/>
      <c r="D5" t="s">
        <v>12</v>
      </c>
      <c r="E5" s="14"/>
      <c r="F5" s="14"/>
      <c r="G5" s="14"/>
      <c r="H5" s="14"/>
      <c r="I5" s="14"/>
      <c r="J5" s="14"/>
      <c r="K5" s="14" t="s">
        <v>147</v>
      </c>
      <c r="L5" s="14" t="b">
        <v>0</v>
      </c>
    </row>
    <row r="6" spans="1:12" x14ac:dyDescent="0.25">
      <c r="A6" s="14" t="s">
        <v>90</v>
      </c>
      <c r="B6" s="14" t="s">
        <v>59</v>
      </c>
      <c r="C6" s="14"/>
      <c r="D6" t="s">
        <v>12</v>
      </c>
      <c r="E6" s="14"/>
      <c r="F6" s="14"/>
      <c r="G6" s="14"/>
      <c r="H6" s="14"/>
      <c r="I6" s="14"/>
      <c r="J6" s="14"/>
      <c r="K6" s="14" t="s">
        <v>148</v>
      </c>
      <c r="L6" s="14" t="b">
        <v>0</v>
      </c>
    </row>
    <row r="7" spans="1:12" x14ac:dyDescent="0.25">
      <c r="A7" s="14" t="s">
        <v>91</v>
      </c>
      <c r="B7" s="14" t="s">
        <v>59</v>
      </c>
      <c r="C7" s="14"/>
      <c r="D7" t="s">
        <v>12</v>
      </c>
      <c r="E7" s="14"/>
      <c r="F7" s="14"/>
      <c r="G7" s="14"/>
      <c r="H7" s="14"/>
      <c r="I7" s="14"/>
      <c r="J7" s="14"/>
      <c r="K7" s="14" t="s">
        <v>149</v>
      </c>
      <c r="L7" s="14" t="b">
        <v>0</v>
      </c>
    </row>
    <row r="8" spans="1:12" x14ac:dyDescent="0.25">
      <c r="A8" s="14" t="s">
        <v>92</v>
      </c>
      <c r="B8" s="14" t="s">
        <v>59</v>
      </c>
      <c r="C8" s="14"/>
      <c r="D8" t="s">
        <v>83</v>
      </c>
      <c r="E8" s="14" t="s">
        <v>150</v>
      </c>
      <c r="F8" s="14" t="s">
        <v>151</v>
      </c>
      <c r="G8" s="14"/>
      <c r="H8" s="14"/>
      <c r="I8" s="14"/>
      <c r="J8" s="14"/>
      <c r="K8" s="14" t="s">
        <v>152</v>
      </c>
      <c r="L8" s="14" t="b">
        <v>0</v>
      </c>
    </row>
    <row r="9" spans="1:12" x14ac:dyDescent="0.25">
      <c r="A9" s="14" t="s">
        <v>93</v>
      </c>
      <c r="B9" s="14" t="s">
        <v>29</v>
      </c>
      <c r="C9" s="14"/>
      <c r="D9" t="s">
        <v>12</v>
      </c>
      <c r="E9" s="14" t="s">
        <v>193</v>
      </c>
      <c r="F9" s="14" t="s">
        <v>194</v>
      </c>
      <c r="G9" s="14"/>
      <c r="H9" s="14"/>
      <c r="I9" s="14"/>
      <c r="J9" s="14"/>
      <c r="K9" s="14" t="s">
        <v>153</v>
      </c>
      <c r="L9" s="14" t="b">
        <v>0</v>
      </c>
    </row>
    <row r="10" spans="1:12" x14ac:dyDescent="0.25">
      <c r="A10" s="14" t="s">
        <v>94</v>
      </c>
      <c r="B10" s="14" t="s">
        <v>33</v>
      </c>
      <c r="C10" s="14"/>
      <c r="D10" t="s">
        <v>78</v>
      </c>
      <c r="E10" s="14" t="s">
        <v>154</v>
      </c>
      <c r="F10" s="14" t="s">
        <v>155</v>
      </c>
      <c r="G10" s="14" t="s">
        <v>156</v>
      </c>
      <c r="H10" s="14" t="s">
        <v>157</v>
      </c>
      <c r="I10" s="14" t="s">
        <v>158</v>
      </c>
      <c r="J10" s="14" t="s">
        <v>159</v>
      </c>
      <c r="K10" s="14" t="s">
        <v>160</v>
      </c>
      <c r="L10" s="14" t="b">
        <v>0</v>
      </c>
    </row>
    <row r="11" spans="1:12" x14ac:dyDescent="0.25">
      <c r="A11" s="14" t="s">
        <v>95</v>
      </c>
      <c r="B11" s="14" t="s">
        <v>51</v>
      </c>
      <c r="C11" s="14"/>
      <c r="D11" t="s">
        <v>78</v>
      </c>
      <c r="E11" s="14" t="s">
        <v>161</v>
      </c>
      <c r="F11" s="14" t="s">
        <v>162</v>
      </c>
      <c r="G11" s="14" t="s">
        <v>163</v>
      </c>
      <c r="H11" s="14" t="s">
        <v>164</v>
      </c>
      <c r="I11" s="14" t="s">
        <v>165</v>
      </c>
      <c r="J11" s="14"/>
      <c r="K11" s="14" t="s">
        <v>166</v>
      </c>
      <c r="L11" s="14" t="b">
        <v>0</v>
      </c>
    </row>
    <row r="12" spans="1:12" x14ac:dyDescent="0.25">
      <c r="A12" s="14" t="s">
        <v>96</v>
      </c>
      <c r="B12" s="14" t="s">
        <v>51</v>
      </c>
      <c r="C12" s="14"/>
      <c r="D12" t="s">
        <v>78</v>
      </c>
      <c r="E12" s="14" t="s">
        <v>167</v>
      </c>
      <c r="F12" s="14" t="s">
        <v>168</v>
      </c>
      <c r="G12" s="14" t="s">
        <v>163</v>
      </c>
      <c r="H12" s="14" t="s">
        <v>164</v>
      </c>
      <c r="I12" s="14" t="s">
        <v>165</v>
      </c>
      <c r="J12" s="14"/>
      <c r="K12" s="14" t="s">
        <v>169</v>
      </c>
      <c r="L12" s="14" t="b">
        <v>0</v>
      </c>
    </row>
    <row r="13" spans="1:12" x14ac:dyDescent="0.25">
      <c r="A13" s="14" t="s">
        <v>97</v>
      </c>
      <c r="B13" s="14" t="s">
        <v>51</v>
      </c>
      <c r="C13" s="14"/>
      <c r="D13" t="s">
        <v>78</v>
      </c>
      <c r="E13" s="14" t="s">
        <v>170</v>
      </c>
      <c r="F13" s="14" t="s">
        <v>171</v>
      </c>
      <c r="G13" s="14" t="s">
        <v>172</v>
      </c>
      <c r="H13" s="14" t="s">
        <v>173</v>
      </c>
      <c r="I13" s="14" t="s">
        <v>174</v>
      </c>
      <c r="J13" s="14" t="s">
        <v>175</v>
      </c>
      <c r="K13" s="14" t="s">
        <v>176</v>
      </c>
      <c r="L13" s="14" t="b">
        <v>0</v>
      </c>
    </row>
    <row r="14" spans="1:12" x14ac:dyDescent="0.25">
      <c r="A14" s="14" t="s">
        <v>98</v>
      </c>
      <c r="B14" s="14" t="s">
        <v>33</v>
      </c>
      <c r="C14" s="14"/>
      <c r="D14" t="s">
        <v>78</v>
      </c>
      <c r="E14" s="14" t="s">
        <v>161</v>
      </c>
      <c r="F14" s="14" t="s">
        <v>162</v>
      </c>
      <c r="G14" s="14" t="s">
        <v>177</v>
      </c>
      <c r="H14" s="14" t="s">
        <v>178</v>
      </c>
      <c r="I14" s="14" t="s">
        <v>179</v>
      </c>
      <c r="J14" s="14" t="s">
        <v>180</v>
      </c>
      <c r="K14" s="14" t="s">
        <v>181</v>
      </c>
      <c r="L14" s="14" t="b">
        <v>0</v>
      </c>
    </row>
    <row r="15" spans="1:12" x14ac:dyDescent="0.25">
      <c r="A15" s="14" t="s">
        <v>99</v>
      </c>
      <c r="B15" s="14" t="s">
        <v>30</v>
      </c>
      <c r="C15" s="14" t="s">
        <v>182</v>
      </c>
      <c r="D15" t="s">
        <v>81</v>
      </c>
      <c r="E15" s="14"/>
      <c r="F15" s="14"/>
      <c r="G15" s="14"/>
      <c r="H15" s="14"/>
      <c r="I15" s="14"/>
      <c r="J15" s="14"/>
      <c r="K15" s="14" t="s">
        <v>183</v>
      </c>
      <c r="L15" s="14" t="b">
        <v>0</v>
      </c>
    </row>
    <row r="16" spans="1:12" x14ac:dyDescent="0.25">
      <c r="A16" s="14" t="s">
        <v>100</v>
      </c>
      <c r="B16" s="14" t="s">
        <v>51</v>
      </c>
      <c r="C16" s="14"/>
      <c r="D16" t="s">
        <v>79</v>
      </c>
      <c r="E16" s="14"/>
      <c r="F16" s="14"/>
      <c r="G16" s="14"/>
      <c r="H16" s="14"/>
      <c r="I16" s="14"/>
      <c r="J16" s="14"/>
      <c r="K16" s="14" t="s">
        <v>184</v>
      </c>
      <c r="L16" s="14" t="b">
        <v>0</v>
      </c>
    </row>
    <row r="17" spans="1:12" x14ac:dyDescent="0.25">
      <c r="A17" s="14" t="s">
        <v>101</v>
      </c>
      <c r="B17" s="14" t="s">
        <v>51</v>
      </c>
      <c r="C17" s="14"/>
      <c r="D17" t="s">
        <v>80</v>
      </c>
      <c r="E17" s="14"/>
      <c r="F17" s="14"/>
      <c r="G17" s="14"/>
      <c r="H17" s="14"/>
      <c r="I17" s="14"/>
      <c r="J17" s="14"/>
      <c r="K17" s="14" t="s">
        <v>185</v>
      </c>
      <c r="L17" s="14" t="b">
        <v>0</v>
      </c>
    </row>
    <row r="18" spans="1:12" x14ac:dyDescent="0.25">
      <c r="A18" s="14" t="s">
        <v>102</v>
      </c>
      <c r="B18" s="14" t="s">
        <v>33</v>
      </c>
      <c r="C18" s="14"/>
      <c r="D18" t="s">
        <v>192</v>
      </c>
      <c r="E18" s="14"/>
      <c r="F18" s="14"/>
      <c r="G18" s="14"/>
      <c r="H18" s="14"/>
      <c r="I18" s="14"/>
      <c r="J18" s="14"/>
      <c r="K18" s="14" t="s">
        <v>186</v>
      </c>
      <c r="L18" s="14" t="b">
        <v>0</v>
      </c>
    </row>
    <row r="19" spans="1:12" x14ac:dyDescent="0.25">
      <c r="A19" s="14" t="s">
        <v>103</v>
      </c>
      <c r="B19" s="14" t="s">
        <v>59</v>
      </c>
      <c r="C19" s="14"/>
      <c r="D19" t="s">
        <v>12</v>
      </c>
      <c r="E19" s="14" t="s">
        <v>103</v>
      </c>
      <c r="F19" s="14" t="s">
        <v>187</v>
      </c>
      <c r="G19" s="14"/>
      <c r="H19" s="14"/>
      <c r="I19" s="14"/>
      <c r="J19" s="14"/>
      <c r="K19" s="14" t="s">
        <v>188</v>
      </c>
      <c r="L19" s="14" t="b">
        <v>0</v>
      </c>
    </row>
    <row r="20" spans="1:12" x14ac:dyDescent="0.25">
      <c r="A20" s="14" t="s">
        <v>104</v>
      </c>
      <c r="B20" s="14" t="s">
        <v>59</v>
      </c>
      <c r="C20" s="14"/>
      <c r="D20" t="s">
        <v>12</v>
      </c>
      <c r="E20" s="14" t="s">
        <v>189</v>
      </c>
      <c r="F20" s="14" t="s">
        <v>190</v>
      </c>
      <c r="G20" s="14"/>
      <c r="H20" s="14"/>
      <c r="I20" s="14"/>
      <c r="J20" s="14"/>
      <c r="K20" s="14" t="s">
        <v>191</v>
      </c>
      <c r="L20" s="14" t="b">
        <v>0</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A929E7-9DE2-46B4-B127-D81BC28FD4E5}">
          <x14:formula1>
            <xm:f>'Admin Codes'!$A$2:$A$45</xm:f>
          </x14:formula1>
          <xm:sqref>B2:B20</xm:sqref>
        </x14:dataValidation>
        <x14:dataValidation type="list" allowBlank="1" showInputMessage="1" showErrorMessage="1" xr:uid="{9980DE4E-C771-4520-89A0-1272CC5108EF}">
          <x14:formula1>
            <xm:f>'Admin Codes'!$C$2:$C$13</xm:f>
          </x14:formula1>
          <xm:sqref>D2:D20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8F28-B583-4D97-96EC-961A0675C51B}">
  <dimension ref="A1:S10"/>
  <sheetViews>
    <sheetView workbookViewId="0">
      <selection activeCell="S10" sqref="A1:S10"/>
    </sheetView>
  </sheetViews>
  <sheetFormatPr defaultRowHeight="15" x14ac:dyDescent="0.25"/>
  <cols>
    <col min="1" max="1" width="10.28515625" style="13" bestFit="1" customWidth="1"/>
    <col min="2" max="2" width="13.5703125" style="13" bestFit="1" customWidth="1"/>
    <col min="3" max="3" width="8" style="13" bestFit="1" customWidth="1"/>
    <col min="4" max="4" width="9.85546875" style="13" bestFit="1" customWidth="1"/>
    <col min="5" max="5" width="9.140625" style="13" bestFit="1" customWidth="1"/>
    <col min="6" max="6" width="11" style="13" bestFit="1" customWidth="1"/>
    <col min="7" max="7" width="6.28515625" style="13" bestFit="1" customWidth="1"/>
    <col min="8" max="8" width="14.42578125" style="13" bestFit="1" customWidth="1"/>
    <col min="9" max="9" width="19.5703125" style="13" bestFit="1" customWidth="1"/>
    <col min="10" max="10" width="16.140625" style="13" bestFit="1" customWidth="1"/>
    <col min="11" max="11" width="15.5703125" style="13" bestFit="1" customWidth="1"/>
    <col min="12" max="12" width="12.42578125" style="13" bestFit="1" customWidth="1"/>
    <col min="13" max="13" width="14.140625" style="13" bestFit="1" customWidth="1"/>
    <col min="14" max="14" width="14.85546875" style="13" bestFit="1" customWidth="1"/>
    <col min="15" max="16" width="10" style="13" bestFit="1" customWidth="1"/>
    <col min="17" max="17" width="9.42578125" style="13" bestFit="1" customWidth="1"/>
    <col min="18" max="18" width="8.140625" style="13" bestFit="1" customWidth="1"/>
    <col min="19" max="19" width="7.7109375" style="13" bestFit="1" customWidth="1"/>
  </cols>
  <sheetData>
    <row r="1" spans="1:19" x14ac:dyDescent="0.25">
      <c r="A1" s="12" t="s">
        <v>86</v>
      </c>
      <c r="B1" s="12" t="s">
        <v>87</v>
      </c>
      <c r="C1" s="12" t="s">
        <v>88</v>
      </c>
      <c r="D1" s="12" t="s">
        <v>89</v>
      </c>
      <c r="E1" s="12" t="s">
        <v>90</v>
      </c>
      <c r="F1" s="12" t="s">
        <v>91</v>
      </c>
      <c r="G1" s="12" t="s">
        <v>92</v>
      </c>
      <c r="H1" s="12" t="s">
        <v>93</v>
      </c>
      <c r="I1" s="12" t="s">
        <v>94</v>
      </c>
      <c r="J1" s="12" t="s">
        <v>95</v>
      </c>
      <c r="K1" s="12" t="s">
        <v>96</v>
      </c>
      <c r="L1" s="12" t="s">
        <v>97</v>
      </c>
      <c r="M1" s="12" t="s">
        <v>98</v>
      </c>
      <c r="N1" s="12" t="s">
        <v>99</v>
      </c>
      <c r="O1" s="12" t="s">
        <v>100</v>
      </c>
      <c r="P1" s="12" t="s">
        <v>101</v>
      </c>
      <c r="Q1" s="12" t="s">
        <v>102</v>
      </c>
      <c r="R1" s="12" t="s">
        <v>103</v>
      </c>
      <c r="S1" s="12" t="s">
        <v>104</v>
      </c>
    </row>
    <row r="2" spans="1:19" x14ac:dyDescent="0.25">
      <c r="A2" s="14" t="s">
        <v>105</v>
      </c>
      <c r="B2" s="14" t="s">
        <v>106</v>
      </c>
      <c r="C2" s="14" t="s">
        <v>107</v>
      </c>
      <c r="D2" s="14" t="s">
        <v>108</v>
      </c>
      <c r="E2" s="14" t="s">
        <v>109</v>
      </c>
      <c r="F2" s="14" t="s">
        <v>110</v>
      </c>
      <c r="G2" s="14" t="s">
        <v>111</v>
      </c>
      <c r="H2" s="14" t="s">
        <v>112</v>
      </c>
      <c r="I2" s="14">
        <v>100</v>
      </c>
      <c r="J2" s="14">
        <v>149</v>
      </c>
      <c r="K2" s="14"/>
      <c r="L2" s="14">
        <v>1.41</v>
      </c>
      <c r="M2" s="14">
        <v>5</v>
      </c>
      <c r="N2" s="14" t="s">
        <v>113</v>
      </c>
      <c r="O2" s="14">
        <v>14.736162999999999</v>
      </c>
      <c r="P2" s="14">
        <v>106.63576</v>
      </c>
      <c r="Q2" s="14">
        <v>93</v>
      </c>
      <c r="R2" s="14" t="s">
        <v>114</v>
      </c>
      <c r="S2" s="14" t="s">
        <v>115</v>
      </c>
    </row>
    <row r="3" spans="1:19" x14ac:dyDescent="0.25">
      <c r="A3" s="14" t="s">
        <v>116</v>
      </c>
      <c r="B3" s="14" t="s">
        <v>117</v>
      </c>
      <c r="C3" s="14" t="s">
        <v>118</v>
      </c>
      <c r="D3" s="14" t="s">
        <v>119</v>
      </c>
      <c r="E3" s="14" t="s">
        <v>109</v>
      </c>
      <c r="F3" s="14" t="s">
        <v>110</v>
      </c>
      <c r="G3" s="14" t="s">
        <v>111</v>
      </c>
      <c r="H3" s="14" t="s">
        <v>120</v>
      </c>
      <c r="I3" s="14">
        <v>100</v>
      </c>
      <c r="J3" s="14">
        <v>157</v>
      </c>
      <c r="K3" s="14"/>
      <c r="L3" s="14">
        <v>1.31</v>
      </c>
      <c r="M3" s="14">
        <v>21</v>
      </c>
      <c r="N3" s="14" t="s">
        <v>113</v>
      </c>
      <c r="O3" s="14">
        <v>14.711535</v>
      </c>
      <c r="P3" s="14">
        <v>106.63576</v>
      </c>
      <c r="Q3" s="14">
        <v>93</v>
      </c>
      <c r="R3" s="14" t="s">
        <v>114</v>
      </c>
      <c r="S3" s="14" t="s">
        <v>115</v>
      </c>
    </row>
    <row r="4" spans="1:19" x14ac:dyDescent="0.25">
      <c r="A4" s="14" t="s">
        <v>121</v>
      </c>
      <c r="B4" s="14" t="s">
        <v>122</v>
      </c>
      <c r="C4" s="14" t="s">
        <v>107</v>
      </c>
      <c r="D4" s="14" t="s">
        <v>123</v>
      </c>
      <c r="E4" s="14" t="s">
        <v>109</v>
      </c>
      <c r="F4" s="14" t="s">
        <v>110</v>
      </c>
      <c r="G4" s="14" t="s">
        <v>111</v>
      </c>
      <c r="H4" s="14" t="s">
        <v>112</v>
      </c>
      <c r="I4" s="14">
        <v>100</v>
      </c>
      <c r="J4" s="14">
        <v>133</v>
      </c>
      <c r="K4" s="14"/>
      <c r="L4" s="14">
        <v>1.3</v>
      </c>
      <c r="M4" s="14">
        <v>1</v>
      </c>
      <c r="N4" s="14" t="s">
        <v>113</v>
      </c>
      <c r="O4" s="14">
        <v>14.736162999999999</v>
      </c>
      <c r="P4" s="14">
        <v>106.63576</v>
      </c>
      <c r="Q4" s="14">
        <v>93</v>
      </c>
      <c r="R4" s="14" t="s">
        <v>114</v>
      </c>
      <c r="S4" s="14" t="s">
        <v>115</v>
      </c>
    </row>
    <row r="5" spans="1:19" x14ac:dyDescent="0.25">
      <c r="A5" s="14" t="s">
        <v>124</v>
      </c>
      <c r="B5" s="14" t="s">
        <v>125</v>
      </c>
      <c r="C5" s="14" t="s">
        <v>118</v>
      </c>
      <c r="D5" s="14" t="s">
        <v>119</v>
      </c>
      <c r="E5" s="14" t="s">
        <v>126</v>
      </c>
      <c r="F5" s="14" t="s">
        <v>110</v>
      </c>
      <c r="G5" s="14" t="s">
        <v>127</v>
      </c>
      <c r="H5" s="14" t="s">
        <v>120</v>
      </c>
      <c r="I5" s="14">
        <v>100</v>
      </c>
      <c r="J5" s="14">
        <v>152</v>
      </c>
      <c r="K5" s="14"/>
      <c r="L5" s="14">
        <v>1.35</v>
      </c>
      <c r="M5" s="14">
        <v>21</v>
      </c>
      <c r="N5" s="14" t="s">
        <v>113</v>
      </c>
      <c r="O5" s="14">
        <v>14.711535</v>
      </c>
      <c r="P5" s="14">
        <v>106.63576</v>
      </c>
      <c r="Q5" s="14">
        <v>93</v>
      </c>
      <c r="R5" s="14" t="s">
        <v>114</v>
      </c>
      <c r="S5" s="14" t="s">
        <v>115</v>
      </c>
    </row>
    <row r="6" spans="1:19" x14ac:dyDescent="0.25">
      <c r="A6" s="14" t="s">
        <v>128</v>
      </c>
      <c r="B6" s="14" t="s">
        <v>129</v>
      </c>
      <c r="C6" s="14" t="s">
        <v>107</v>
      </c>
      <c r="D6" s="14" t="s">
        <v>119</v>
      </c>
      <c r="E6" s="14" t="s">
        <v>109</v>
      </c>
      <c r="F6" s="14" t="s">
        <v>110</v>
      </c>
      <c r="G6" s="14" t="s">
        <v>111</v>
      </c>
      <c r="H6" s="14" t="s">
        <v>112</v>
      </c>
      <c r="I6" s="14">
        <v>100</v>
      </c>
      <c r="J6" s="14">
        <v>157</v>
      </c>
      <c r="K6" s="14"/>
      <c r="L6" s="14">
        <v>1.48</v>
      </c>
      <c r="M6" s="14">
        <v>5</v>
      </c>
      <c r="N6" s="14" t="s">
        <v>113</v>
      </c>
      <c r="O6" s="14">
        <v>14.736162999999999</v>
      </c>
      <c r="P6" s="14">
        <v>106.63576</v>
      </c>
      <c r="Q6" s="14">
        <v>93</v>
      </c>
      <c r="R6" s="14" t="s">
        <v>114</v>
      </c>
      <c r="S6" s="14" t="s">
        <v>115</v>
      </c>
    </row>
    <row r="7" spans="1:19" x14ac:dyDescent="0.25">
      <c r="A7" s="14" t="s">
        <v>130</v>
      </c>
      <c r="B7" s="14" t="s">
        <v>131</v>
      </c>
      <c r="C7" s="14" t="s">
        <v>132</v>
      </c>
      <c r="D7" s="14" t="s">
        <v>108</v>
      </c>
      <c r="E7" s="14" t="s">
        <v>109</v>
      </c>
      <c r="F7" s="14" t="s">
        <v>110</v>
      </c>
      <c r="G7" s="14" t="s">
        <v>111</v>
      </c>
      <c r="H7" s="14" t="s">
        <v>133</v>
      </c>
      <c r="I7" s="14">
        <v>100</v>
      </c>
      <c r="J7" s="14">
        <v>151</v>
      </c>
      <c r="K7" s="14"/>
      <c r="L7" s="14">
        <v>1.42</v>
      </c>
      <c r="M7" s="14">
        <v>7</v>
      </c>
      <c r="N7" s="14" t="s">
        <v>113</v>
      </c>
      <c r="O7" s="14">
        <v>14.712339999999999</v>
      </c>
      <c r="P7" s="14">
        <v>106.63576</v>
      </c>
      <c r="Q7" s="14">
        <v>93</v>
      </c>
      <c r="R7" s="14" t="s">
        <v>114</v>
      </c>
      <c r="S7" s="14" t="s">
        <v>115</v>
      </c>
    </row>
    <row r="8" spans="1:19" x14ac:dyDescent="0.25">
      <c r="A8" s="14" t="s">
        <v>134</v>
      </c>
      <c r="B8" s="14" t="s">
        <v>135</v>
      </c>
      <c r="C8" s="14" t="s">
        <v>136</v>
      </c>
      <c r="D8" s="14" t="s">
        <v>108</v>
      </c>
      <c r="E8" s="14" t="s">
        <v>109</v>
      </c>
      <c r="F8" s="14" t="s">
        <v>110</v>
      </c>
      <c r="G8" s="14" t="s">
        <v>111</v>
      </c>
      <c r="H8" s="14" t="s">
        <v>133</v>
      </c>
      <c r="I8" s="14">
        <v>100</v>
      </c>
      <c r="J8" s="14">
        <v>166</v>
      </c>
      <c r="K8" s="14"/>
      <c r="L8" s="14">
        <v>1.64</v>
      </c>
      <c r="M8" s="14">
        <v>0</v>
      </c>
      <c r="N8" s="14" t="s">
        <v>113</v>
      </c>
      <c r="O8" s="14">
        <v>14.730497</v>
      </c>
      <c r="P8" s="14">
        <v>106.63576</v>
      </c>
      <c r="Q8" s="14">
        <v>93</v>
      </c>
      <c r="R8" s="14" t="s">
        <v>114</v>
      </c>
      <c r="S8" s="14" t="s">
        <v>115</v>
      </c>
    </row>
    <row r="9" spans="1:19" x14ac:dyDescent="0.25">
      <c r="A9" s="14" t="s">
        <v>137</v>
      </c>
      <c r="B9" s="14" t="s">
        <v>138</v>
      </c>
      <c r="C9" s="14" t="s">
        <v>132</v>
      </c>
      <c r="D9" s="14" t="s">
        <v>108</v>
      </c>
      <c r="E9" s="14" t="s">
        <v>126</v>
      </c>
      <c r="F9" s="14" t="s">
        <v>110</v>
      </c>
      <c r="G9" s="14" t="s">
        <v>127</v>
      </c>
      <c r="H9" s="14" t="s">
        <v>133</v>
      </c>
      <c r="I9" s="14">
        <v>100</v>
      </c>
      <c r="J9" s="14">
        <v>156</v>
      </c>
      <c r="K9" s="14"/>
      <c r="L9" s="14">
        <v>1.28</v>
      </c>
      <c r="M9" s="14">
        <v>12</v>
      </c>
      <c r="N9" s="14" t="s">
        <v>113</v>
      </c>
      <c r="O9" s="14">
        <v>14.712339999999999</v>
      </c>
      <c r="P9" s="14">
        <v>106.63576</v>
      </c>
      <c r="Q9" s="14">
        <v>93</v>
      </c>
      <c r="R9" s="14" t="s">
        <v>114</v>
      </c>
      <c r="S9" s="14" t="s">
        <v>115</v>
      </c>
    </row>
    <row r="10" spans="1:19" x14ac:dyDescent="0.25">
      <c r="A10" s="14" t="s">
        <v>139</v>
      </c>
      <c r="B10" s="14" t="s">
        <v>140</v>
      </c>
      <c r="C10" s="14" t="s">
        <v>132</v>
      </c>
      <c r="D10" s="14" t="s">
        <v>123</v>
      </c>
      <c r="E10" s="14" t="s">
        <v>109</v>
      </c>
      <c r="F10" s="14" t="s">
        <v>110</v>
      </c>
      <c r="G10" s="14" t="s">
        <v>111</v>
      </c>
      <c r="H10" s="14" t="s">
        <v>133</v>
      </c>
      <c r="I10" s="14">
        <v>100</v>
      </c>
      <c r="J10" s="14">
        <v>156</v>
      </c>
      <c r="K10" s="14"/>
      <c r="L10" s="14">
        <v>1.45</v>
      </c>
      <c r="M10" s="14">
        <v>8</v>
      </c>
      <c r="N10" s="14" t="s">
        <v>113</v>
      </c>
      <c r="O10" s="14">
        <v>14.712339999999999</v>
      </c>
      <c r="P10" s="14">
        <v>106.63576</v>
      </c>
      <c r="Q10" s="14">
        <v>93</v>
      </c>
      <c r="R10" s="14" t="s">
        <v>114</v>
      </c>
      <c r="S10" s="14" t="s">
        <v>115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2578240-1A76-4B6F-8122-EAC037821C85}">
          <x14:formula1>
            <xm:f>LandUseCodelist!$A$2:$A$5</xm:f>
          </x14:formula1>
          <xm:sqref>H2:H10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216C2-6B6C-43CB-B007-79954F72A532}">
  <dimension ref="A1:C5"/>
  <sheetViews>
    <sheetView tabSelected="1" workbookViewId="0">
      <selection activeCell="C5" sqref="A1:C5"/>
    </sheetView>
  </sheetViews>
  <sheetFormatPr defaultRowHeight="15" x14ac:dyDescent="0.25"/>
  <cols>
    <col min="1" max="1" width="14.42578125" bestFit="1" customWidth="1"/>
    <col min="2" max="2" width="24.85546875" customWidth="1"/>
    <col min="3" max="3" width="163.7109375" bestFit="1" customWidth="1"/>
  </cols>
  <sheetData>
    <row r="1" spans="1:3" x14ac:dyDescent="0.25">
      <c r="A1" t="s">
        <v>10</v>
      </c>
      <c r="B1" t="s">
        <v>11</v>
      </c>
      <c r="C1" t="s">
        <v>4</v>
      </c>
    </row>
    <row r="2" spans="1:3" x14ac:dyDescent="0.25">
      <c r="A2" s="14" t="s">
        <v>120</v>
      </c>
      <c r="B2" t="s">
        <v>203</v>
      </c>
      <c r="C2" t="s">
        <v>6</v>
      </c>
    </row>
    <row r="3" spans="1:3" x14ac:dyDescent="0.25">
      <c r="A3" s="14" t="s">
        <v>112</v>
      </c>
      <c r="B3" t="s">
        <v>205</v>
      </c>
      <c r="C3" t="s">
        <v>7</v>
      </c>
    </row>
    <row r="4" spans="1:3" x14ac:dyDescent="0.25">
      <c r="A4" t="s">
        <v>195</v>
      </c>
      <c r="B4" s="11" t="s">
        <v>204</v>
      </c>
      <c r="C4" t="s">
        <v>8</v>
      </c>
    </row>
    <row r="5" spans="1:3" x14ac:dyDescent="0.25">
      <c r="A5" s="14" t="s">
        <v>133</v>
      </c>
      <c r="C5" t="s">
        <v>9</v>
      </c>
    </row>
  </sheetData>
  <dataValidations count="1">
    <dataValidation type="list" allowBlank="1" showInputMessage="1" showErrorMessage="1" sqref="A5 A2:A3" xr:uid="{6055C607-AE0A-41FC-A03E-226A0700C67F}">
      <formula1>$A$2:$A$5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03BA-FF33-4FEE-9240-9D1A97DA556B}">
  <dimension ref="A1:D45"/>
  <sheetViews>
    <sheetView workbookViewId="0">
      <selection activeCell="D20" sqref="D20"/>
    </sheetView>
  </sheetViews>
  <sheetFormatPr defaultRowHeight="15" x14ac:dyDescent="0.25"/>
  <cols>
    <col min="1" max="1" width="19.140625" bestFit="1" customWidth="1"/>
    <col min="3" max="3" width="24.28515625" bestFit="1" customWidth="1"/>
    <col min="4" max="4" width="80.7109375" bestFit="1" customWidth="1"/>
    <col min="7" max="7" width="24.28515625" bestFit="1" customWidth="1"/>
  </cols>
  <sheetData>
    <row r="1" spans="1:4" x14ac:dyDescent="0.25">
      <c r="A1" s="5" t="s">
        <v>16</v>
      </c>
      <c r="C1" t="s">
        <v>18</v>
      </c>
      <c r="D1" t="s">
        <v>85</v>
      </c>
    </row>
    <row r="2" spans="1:4" ht="45" x14ac:dyDescent="0.25">
      <c r="A2" t="s">
        <v>28</v>
      </c>
      <c r="C2" s="9" t="s">
        <v>82</v>
      </c>
      <c r="D2" s="10" t="s">
        <v>68</v>
      </c>
    </row>
    <row r="3" spans="1:4" x14ac:dyDescent="0.25">
      <c r="A3" t="s">
        <v>29</v>
      </c>
      <c r="C3" t="s">
        <v>12</v>
      </c>
      <c r="D3" s="8" t="s">
        <v>69</v>
      </c>
    </row>
    <row r="4" spans="1:4" x14ac:dyDescent="0.25">
      <c r="A4" t="s">
        <v>30</v>
      </c>
      <c r="C4" t="s">
        <v>78</v>
      </c>
      <c r="D4" s="7" t="s">
        <v>70</v>
      </c>
    </row>
    <row r="5" spans="1:4" x14ac:dyDescent="0.25">
      <c r="A5" t="s">
        <v>31</v>
      </c>
      <c r="C5" t="s">
        <v>79</v>
      </c>
      <c r="D5" s="8" t="s">
        <v>74</v>
      </c>
    </row>
    <row r="6" spans="1:4" x14ac:dyDescent="0.25">
      <c r="A6" t="s">
        <v>51</v>
      </c>
      <c r="C6" t="s">
        <v>80</v>
      </c>
      <c r="D6" s="7" t="s">
        <v>75</v>
      </c>
    </row>
    <row r="7" spans="1:4" x14ac:dyDescent="0.25">
      <c r="A7" t="s">
        <v>33</v>
      </c>
      <c r="C7" t="s">
        <v>192</v>
      </c>
    </row>
    <row r="8" spans="1:4" x14ac:dyDescent="0.25">
      <c r="A8" t="s">
        <v>59</v>
      </c>
      <c r="C8" t="s">
        <v>83</v>
      </c>
      <c r="D8" s="6" t="s">
        <v>76</v>
      </c>
    </row>
    <row r="9" spans="1:4" x14ac:dyDescent="0.25">
      <c r="A9" t="s">
        <v>26</v>
      </c>
      <c r="C9" t="s">
        <v>84</v>
      </c>
      <c r="D9" s="6" t="s">
        <v>77</v>
      </c>
    </row>
    <row r="10" spans="1:4" x14ac:dyDescent="0.25">
      <c r="A10" t="s">
        <v>27</v>
      </c>
      <c r="C10" t="s">
        <v>81</v>
      </c>
      <c r="D10" s="8" t="s">
        <v>72</v>
      </c>
    </row>
    <row r="11" spans="1:4" x14ac:dyDescent="0.25">
      <c r="A11" t="s">
        <v>37</v>
      </c>
      <c r="C11" t="s">
        <v>73</v>
      </c>
      <c r="D11" s="7" t="s">
        <v>73</v>
      </c>
    </row>
    <row r="12" spans="1:4" x14ac:dyDescent="0.25">
      <c r="A12" t="s">
        <v>32</v>
      </c>
      <c r="C12" t="s">
        <v>13</v>
      </c>
      <c r="D12" s="8" t="s">
        <v>13</v>
      </c>
    </row>
    <row r="13" spans="1:4" x14ac:dyDescent="0.25">
      <c r="A13" t="s">
        <v>49</v>
      </c>
      <c r="C13" t="s">
        <v>5</v>
      </c>
      <c r="D13" t="s">
        <v>71</v>
      </c>
    </row>
    <row r="14" spans="1:4" x14ac:dyDescent="0.25">
      <c r="A14" t="s">
        <v>25</v>
      </c>
    </row>
    <row r="15" spans="1:4" x14ac:dyDescent="0.25">
      <c r="A15" t="s">
        <v>46</v>
      </c>
    </row>
    <row r="16" spans="1:4" x14ac:dyDescent="0.25">
      <c r="A16" t="s">
        <v>48</v>
      </c>
    </row>
    <row r="17" spans="1:1" x14ac:dyDescent="0.25">
      <c r="A17" t="s">
        <v>52</v>
      </c>
    </row>
    <row r="18" spans="1:1" x14ac:dyDescent="0.25">
      <c r="A18" t="s">
        <v>53</v>
      </c>
    </row>
    <row r="19" spans="1:1" x14ac:dyDescent="0.25">
      <c r="A19" t="s">
        <v>54</v>
      </c>
    </row>
    <row r="20" spans="1:1" x14ac:dyDescent="0.25">
      <c r="A20" t="s">
        <v>55</v>
      </c>
    </row>
    <row r="21" spans="1:1" x14ac:dyDescent="0.25">
      <c r="A21" t="s">
        <v>56</v>
      </c>
    </row>
    <row r="22" spans="1:1" x14ac:dyDescent="0.25">
      <c r="A22" t="s">
        <v>57</v>
      </c>
    </row>
    <row r="23" spans="1:1" x14ac:dyDescent="0.25">
      <c r="A23" t="s">
        <v>66</v>
      </c>
    </row>
    <row r="24" spans="1:1" x14ac:dyDescent="0.25">
      <c r="A24" t="s">
        <v>35</v>
      </c>
    </row>
    <row r="25" spans="1:1" x14ac:dyDescent="0.25">
      <c r="A25" t="s">
        <v>67</v>
      </c>
    </row>
    <row r="26" spans="1:1" x14ac:dyDescent="0.25">
      <c r="A26" t="s">
        <v>62</v>
      </c>
    </row>
    <row r="27" spans="1:1" x14ac:dyDescent="0.25">
      <c r="A27" t="s">
        <v>34</v>
      </c>
    </row>
    <row r="28" spans="1:1" x14ac:dyDescent="0.25">
      <c r="A28" t="s">
        <v>10</v>
      </c>
    </row>
    <row r="29" spans="1:1" x14ac:dyDescent="0.25">
      <c r="A29" t="s">
        <v>45</v>
      </c>
    </row>
    <row r="30" spans="1:1" x14ac:dyDescent="0.25">
      <c r="A30" t="s">
        <v>63</v>
      </c>
    </row>
    <row r="31" spans="1:1" x14ac:dyDescent="0.25">
      <c r="A31" t="s">
        <v>38</v>
      </c>
    </row>
    <row r="32" spans="1:1" x14ac:dyDescent="0.25">
      <c r="A32" t="s">
        <v>44</v>
      </c>
    </row>
    <row r="33" spans="1:1" x14ac:dyDescent="0.25">
      <c r="A33" t="s">
        <v>60</v>
      </c>
    </row>
    <row r="34" spans="1:1" x14ac:dyDescent="0.25">
      <c r="A34" t="s">
        <v>47</v>
      </c>
    </row>
    <row r="35" spans="1:1" x14ac:dyDescent="0.25">
      <c r="A35" t="s">
        <v>39</v>
      </c>
    </row>
    <row r="36" spans="1:1" x14ac:dyDescent="0.25">
      <c r="A36" t="s">
        <v>58</v>
      </c>
    </row>
    <row r="37" spans="1:1" x14ac:dyDescent="0.25">
      <c r="A37" t="s">
        <v>36</v>
      </c>
    </row>
    <row r="38" spans="1:1" x14ac:dyDescent="0.25">
      <c r="A38" t="s">
        <v>64</v>
      </c>
    </row>
    <row r="39" spans="1:1" x14ac:dyDescent="0.25">
      <c r="A39" t="s">
        <v>61</v>
      </c>
    </row>
    <row r="40" spans="1:1" x14ac:dyDescent="0.25">
      <c r="A40" t="s">
        <v>43</v>
      </c>
    </row>
    <row r="41" spans="1:1" x14ac:dyDescent="0.25">
      <c r="A41" t="s">
        <v>41</v>
      </c>
    </row>
    <row r="42" spans="1:1" x14ac:dyDescent="0.25">
      <c r="A42" t="s">
        <v>40</v>
      </c>
    </row>
    <row r="43" spans="1:1" x14ac:dyDescent="0.25">
      <c r="A43" t="s">
        <v>42</v>
      </c>
    </row>
    <row r="44" spans="1:1" x14ac:dyDescent="0.25">
      <c r="A44" t="s">
        <v>65</v>
      </c>
    </row>
    <row r="45" spans="1:1" x14ac:dyDescent="0.25">
      <c r="A45" t="s">
        <v>50</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Properties</vt:lpstr>
      <vt:lpstr>Data</vt:lpstr>
      <vt:lpstr>LandUseCodelist</vt:lpstr>
      <vt:lpstr>Admin 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Kathi Schleidt</dc:creator>
  <cp:keywords/>
  <dc:description/>
  <cp:lastModifiedBy>Kathi Schleidt</cp:lastModifiedBy>
  <cp:revision/>
  <dcterms:created xsi:type="dcterms:W3CDTF">2025-09-30T14:29:07Z</dcterms:created>
  <dcterms:modified xsi:type="dcterms:W3CDTF">2026-09-12T15:36:14Z</dcterms:modified>
  <cp:category/>
  <cp:contentStatus/>
</cp:coreProperties>
</file>