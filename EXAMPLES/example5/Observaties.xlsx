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2823F\EXCELCNV\feb132ca-374f-48e9-9e39-61799067d929\"/>
    </mc:Choice>
  </mc:AlternateContent>
  <xr:revisionPtr revIDLastSave="0" documentId="8_{35459C9B-A83B-4778-A46D-73CA6EA51886}" xr6:coauthVersionLast="47" xr6:coauthVersionMax="47" xr10:uidLastSave="{00000000-0000-0000-0000-000000000000}"/>
  <bookViews>
    <workbookView xWindow="-60" yWindow="-60" windowWidth="15480" windowHeight="11640" xr2:uid="{E9426F47-E6E3-4E75-9CEC-FC169C176B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A8" i="1"/>
  <c r="B8" i="1"/>
  <c r="A9" i="1"/>
  <c r="B9" i="1"/>
  <c r="A10" i="1"/>
  <c r="B10" i="1"/>
  <c r="A11" i="1"/>
  <c r="B11" i="1"/>
  <c r="A12" i="1"/>
  <c r="B12" i="1"/>
  <c r="A13" i="1"/>
  <c r="B13" i="1"/>
</calcChain>
</file>

<file path=xl/sharedStrings.xml><?xml version="1.0" encoding="utf-8"?>
<sst xmlns="http://schemas.openxmlformats.org/spreadsheetml/2006/main" count="45" uniqueCount="36">
  <si>
    <t>Laag:</t>
  </si>
  <si>
    <t>Observaties</t>
  </si>
  <si>
    <t>Datum:</t>
  </si>
  <si>
    <t>Bron:</t>
  </si>
  <si>
    <t>Databank Ondergrond Vlaanderen &lt;https://www.dov.vlaanderen.be&gt;</t>
  </si>
  <si>
    <t>Aansprakelijkheidsclausule:</t>
  </si>
  <si>
    <t>De gegevens worden enkel meegedeeld ter informatie. De Vlaamse overheid kan niet verantwoordelijk worden gesteld voor de gevolgen van welk gebruik dan ook.</t>
  </si>
  <si>
    <t>Observatie</t>
  </si>
  <si>
    <t>Gekoppeld aan</t>
  </si>
  <si>
    <t>Parameter</t>
  </si>
  <si>
    <t>Detectieconditie</t>
  </si>
  <si>
    <t>Resultaat numeriek</t>
  </si>
  <si>
    <t>Resultaat tekst</t>
  </si>
  <si>
    <t>Eenheid</t>
  </si>
  <si>
    <t>Fenomeentijd</t>
  </si>
  <si>
    <t>Resultaattijd</t>
  </si>
  <si>
    <t>Methode</t>
  </si>
  <si>
    <t>Uitvoerder</t>
  </si>
  <si>
    <t>Diepte van (m)</t>
  </si>
  <si>
    <t>Diepte tot (m)</t>
  </si>
  <si>
    <t>Herkomst</t>
  </si>
  <si>
    <t>Opdrachten</t>
  </si>
  <si>
    <t>Mengmonster aantal steken (mengmonster_aantal_steken)</t>
  </si>
  <si>
    <t>Deelnemers citizen science project</t>
  </si>
  <si>
    <t>veld</t>
  </si>
  <si>
    <t>Curieuzeneuzen in de tuin, Curieuzeneuzen in de tuin 2021</t>
  </si>
  <si>
    <t>Textuurfracties laser volumeprocent (textuurmeting_laser_volumeprocent)</t>
  </si>
  <si>
    <t>Textuurfracties volumeprocent afgeleid op basis van NIRS</t>
  </si>
  <si>
    <t>Université Catholique de Louvain, Earth and Climate Research Cente</t>
  </si>
  <si>
    <t>labo</t>
  </si>
  <si>
    <t>Organische C - percentage (organische_c_perc)</t>
  </si>
  <si>
    <t>%</t>
  </si>
  <si>
    <t>TOC by CN analyser na verwijderen anorganische C</t>
  </si>
  <si>
    <t>Universiteit Gent, Department of Green Chemistry and Technology</t>
  </si>
  <si>
    <t>Volumetrisch vochtgehalte</t>
  </si>
  <si>
    <t>Temperatuur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</si>
</sst>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A184-D824-4B26-8AF4-2760E1192809}">
  <dimension ref="A1:O13"/>
  <sheetViews>
    <sheetView tabSelected="1" workbookViewId="0"/>
  </sheetViews>
  <sheetFormatPr defaultRowHeight="15"/>
  <sheetData>
    <row r="1" spans="1:15">
      <c r="A1" t="s">
        <v>0</v>
      </c>
      <c r="B1" t="s">
        <v>1</v>
      </c>
    </row>
    <row r="2" spans="1:15">
      <c r="A2" t="s">
        <v>2</v>
      </c>
      <c r="B2" s="1">
        <v>46203</v>
      </c>
    </row>
    <row r="3" spans="1:15">
      <c r="A3" t="s">
        <v>3</v>
      </c>
      <c r="B3" t="s">
        <v>4</v>
      </c>
    </row>
    <row r="4" spans="1:15">
      <c r="A4" t="s">
        <v>5</v>
      </c>
      <c r="B4" t="s">
        <v>6</v>
      </c>
    </row>
    <row r="6" spans="1:1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</row>
    <row r="7" spans="1:15">
      <c r="A7" t="str">
        <f>HYPERLINK("https://www.dov.vlaanderen.be/data/observatie/2021-12406318", "2021-12406318")</f>
        <v>2021-12406318</v>
      </c>
      <c r="B7" t="str">
        <f>HYPERLINK("https://www.dov.vlaanderen.be/data/monster/2021-341644", "Monster CN_223031_2021_M")</f>
        <v>Monster CN_223031_2021_M</v>
      </c>
      <c r="C7" t="s">
        <v>22</v>
      </c>
      <c r="E7">
        <v>3</v>
      </c>
      <c r="H7" s="1">
        <v>44289</v>
      </c>
      <c r="I7" s="1">
        <v>44289</v>
      </c>
      <c r="K7" t="s">
        <v>23</v>
      </c>
      <c r="N7" t="s">
        <v>24</v>
      </c>
      <c r="O7" t="s">
        <v>25</v>
      </c>
    </row>
    <row r="8" spans="1:15">
      <c r="A8" t="str">
        <f>HYPERLINK("https://www.dov.vlaanderen.be/data/observatie/2021-12406319", "2021-12406319")</f>
        <v>2021-12406319</v>
      </c>
      <c r="B8" t="str">
        <f>HYPERLINK("https://www.dov.vlaanderen.be/data/monster/2021-341644", "Monster CN_223031_2021_M")</f>
        <v>Monster CN_223031_2021_M</v>
      </c>
      <c r="C8" t="s">
        <v>26</v>
      </c>
      <c r="H8" s="1">
        <v>44289</v>
      </c>
      <c r="J8" t="s">
        <v>27</v>
      </c>
      <c r="K8" t="s">
        <v>28</v>
      </c>
      <c r="N8" t="s">
        <v>29</v>
      </c>
      <c r="O8" t="s">
        <v>25</v>
      </c>
    </row>
    <row r="9" spans="1:15">
      <c r="A9" t="str">
        <f>HYPERLINK("https://www.dov.vlaanderen.be/data/observatie/2021-12406320", "2021-12406320")</f>
        <v>2021-12406320</v>
      </c>
      <c r="B9" t="str">
        <f>HYPERLINK("https://www.dov.vlaanderen.be/data/monster/2021-341644", "Monster CN_223031_2021_M")</f>
        <v>Monster CN_223031_2021_M</v>
      </c>
      <c r="C9" t="s">
        <v>30</v>
      </c>
      <c r="E9">
        <v>1.65</v>
      </c>
      <c r="G9" t="s">
        <v>31</v>
      </c>
      <c r="H9" s="1">
        <v>44289</v>
      </c>
      <c r="J9" t="s">
        <v>32</v>
      </c>
      <c r="K9" t="s">
        <v>33</v>
      </c>
      <c r="N9" t="s">
        <v>29</v>
      </c>
      <c r="O9" t="s">
        <v>25</v>
      </c>
    </row>
    <row r="10" spans="1:15">
      <c r="A10" t="str">
        <f>HYPERLINK("https://www.dov.vlaanderen.be/data/observatie/2023-12439664", "2023-12439664")</f>
        <v>2023-12439664</v>
      </c>
      <c r="B10" t="str">
        <f>HYPERLINK("https://www.dov.vlaanderen.be/data/bodemlocatie/2021-032627", "Bodemlocatie CN_223031_2021")</f>
        <v>Bodemlocatie CN_223031_2021</v>
      </c>
      <c r="C10" t="s">
        <v>34</v>
      </c>
      <c r="H10" s="1">
        <v>45203</v>
      </c>
      <c r="I10" s="1">
        <v>45203</v>
      </c>
      <c r="L10">
        <v>0</v>
      </c>
      <c r="M10">
        <v>0.14000000000000001</v>
      </c>
      <c r="N10" t="s">
        <v>24</v>
      </c>
    </row>
    <row r="11" spans="1:15">
      <c r="A11" t="str">
        <f>HYPERLINK("https://www.dov.vlaanderen.be/data/observatie/2023-12439665", "2023-12439665")</f>
        <v>2023-12439665</v>
      </c>
      <c r="B11" t="str">
        <f>HYPERLINK("https://www.dov.vlaanderen.be/data/bodemlocatie/2021-032627", "Bodemlocatie CN_223031_2021")</f>
        <v>Bodemlocatie CN_223031_2021</v>
      </c>
      <c r="C11" t="s">
        <v>35</v>
      </c>
      <c r="H11" s="1">
        <v>45203</v>
      </c>
      <c r="I11" s="1">
        <v>45203</v>
      </c>
      <c r="L11">
        <v>-0.12</v>
      </c>
      <c r="N11" t="s">
        <v>24</v>
      </c>
    </row>
    <row r="12" spans="1:15">
      <c r="A12" t="str">
        <f>HYPERLINK("https://www.dov.vlaanderen.be/data/observatie/2023-12439666", "2023-12439666")</f>
        <v>2023-12439666</v>
      </c>
      <c r="B12" t="str">
        <f>HYPERLINK("https://www.dov.vlaanderen.be/data/bodemlocatie/2021-032627", "Bodemlocatie CN_223031_2021")</f>
        <v>Bodemlocatie CN_223031_2021</v>
      </c>
      <c r="C12" t="s">
        <v>35</v>
      </c>
      <c r="H12" s="1">
        <v>45203</v>
      </c>
      <c r="I12" s="1">
        <v>45203</v>
      </c>
      <c r="L12">
        <v>0</v>
      </c>
      <c r="N12" t="s">
        <v>24</v>
      </c>
    </row>
    <row r="13" spans="1:15">
      <c r="A13" t="str">
        <f>HYPERLINK("https://www.dov.vlaanderen.be/data/observatie/2023-12439667", "2023-12439667")</f>
        <v>2023-12439667</v>
      </c>
      <c r="B13" t="str">
        <f>HYPERLINK("https://www.dov.vlaanderen.be/data/bodemlocatie/2021-032627", "Bodemlocatie CN_223031_2021")</f>
        <v>Bodemlocatie CN_223031_2021</v>
      </c>
      <c r="C13" t="s">
        <v>35</v>
      </c>
      <c r="H13" s="1">
        <v>45203</v>
      </c>
      <c r="I13" s="1">
        <v>45203</v>
      </c>
      <c r="L13">
        <v>0.1</v>
      </c>
      <c r="N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2026-07-01T13:40:43Z</dcterms:created>
  <dcterms:modified xsi:type="dcterms:W3CDTF">2026-07-01T13:40:59Z</dcterms:modified>
  <cp:category/>
  <cp:contentStatus/>
</cp:coreProperties>
</file>